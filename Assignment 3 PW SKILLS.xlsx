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b4224c64ce370b/Desktop/"/>
    </mc:Choice>
  </mc:AlternateContent>
  <xr:revisionPtr revIDLastSave="268" documentId="8_{250A01D8-1C2D-4421-86D3-98C68935662C}" xr6:coauthVersionLast="47" xr6:coauthVersionMax="47" xr10:uidLastSave="{EE258F36-1E8F-4765-91D2-245AFDDAD85F}"/>
  <bookViews>
    <workbookView xWindow="-110" yWindow="-110" windowWidth="19420" windowHeight="10300" xr2:uid="{3C55FAEF-A22F-43A0-866C-A835DB173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0" i="1"/>
  <c r="D41" i="1"/>
  <c r="D42" i="1"/>
  <c r="D43" i="1"/>
  <c r="D40" i="1"/>
  <c r="E50" i="1"/>
  <c r="E51" i="1"/>
  <c r="E49" i="1"/>
  <c r="A59" i="1"/>
  <c r="A65" i="1"/>
  <c r="A37" i="1"/>
  <c r="D23" i="1"/>
  <c r="D24" i="1"/>
  <c r="D25" i="1"/>
  <c r="D26" i="1"/>
  <c r="D22" i="1"/>
  <c r="E17" i="1"/>
  <c r="E18" i="1"/>
  <c r="E19" i="1"/>
  <c r="E16" i="1"/>
  <c r="D7" i="1"/>
  <c r="D8" i="1"/>
  <c r="D9" i="1"/>
  <c r="D10" i="1"/>
  <c r="D6" i="1"/>
</calcChain>
</file>

<file path=xl/sharedStrings.xml><?xml version="1.0" encoding="utf-8"?>
<sst xmlns="http://schemas.openxmlformats.org/spreadsheetml/2006/main" count="94" uniqueCount="82">
  <si>
    <t>ASSIGNEMNT 3 PW SKILLS</t>
  </si>
  <si>
    <t xml:space="preserve">QUES 1 : Write a formula to check if the marks in cell are greater than 40 or </t>
  </si>
  <si>
    <t xml:space="preserve">equal to if yes then return "Pass" otherwise "Fail".                                                           </t>
  </si>
  <si>
    <t>Student Name</t>
  </si>
  <si>
    <t>Marks</t>
  </si>
  <si>
    <t>Riya</t>
  </si>
  <si>
    <t>Siya</t>
  </si>
  <si>
    <t>Raju</t>
  </si>
  <si>
    <t>Rahul</t>
  </si>
  <si>
    <t>Ram</t>
  </si>
  <si>
    <t>Pass/ Fail</t>
  </si>
  <si>
    <t>QUES 2: A Company gives a bonus if sales are above 40,000 and attendance</t>
  </si>
  <si>
    <t xml:space="preserve">is greater than or equal to 90% . Write a formula to calculate whether the </t>
  </si>
  <si>
    <t xml:space="preserve">employee will get bonus or not </t>
  </si>
  <si>
    <t>Employee</t>
  </si>
  <si>
    <t xml:space="preserve">Sales </t>
  </si>
  <si>
    <t>Attendance</t>
  </si>
  <si>
    <t>Arjun</t>
  </si>
  <si>
    <t>Simran</t>
  </si>
  <si>
    <t xml:space="preserve">Rohit </t>
  </si>
  <si>
    <t>Anjali</t>
  </si>
  <si>
    <t>Bonus Recevied or Not</t>
  </si>
  <si>
    <t>QUES 3 : Write a nested IF formula :</t>
  </si>
  <si>
    <t>if marks in B2 are &gt;=90 -&gt;"A",&gt;=75 -&gt;"B",&gt;=50 -&gt;"C" , otherwise "Fail"</t>
  </si>
  <si>
    <t>Raj</t>
  </si>
  <si>
    <t>Neha</t>
  </si>
  <si>
    <t>Vivek</t>
  </si>
  <si>
    <t>Rani</t>
  </si>
  <si>
    <t>Sneha</t>
  </si>
  <si>
    <t>Grades</t>
  </si>
  <si>
    <t xml:space="preserve">QUES 4 : Find the Department of Employee ID =E103 . Also Explain which </t>
  </si>
  <si>
    <t>LOOKUP function is used and why?</t>
  </si>
  <si>
    <t xml:space="preserve">Emp ID </t>
  </si>
  <si>
    <t xml:space="preserve">Name </t>
  </si>
  <si>
    <t>Department</t>
  </si>
  <si>
    <t>IT</t>
  </si>
  <si>
    <t>HR</t>
  </si>
  <si>
    <t>Finance</t>
  </si>
  <si>
    <t>Sales</t>
  </si>
  <si>
    <t>Sejal</t>
  </si>
  <si>
    <t>Roshni</t>
  </si>
  <si>
    <t>E101</t>
  </si>
  <si>
    <t>E102</t>
  </si>
  <si>
    <t>E103</t>
  </si>
  <si>
    <t>E104</t>
  </si>
  <si>
    <t>Vlookup will be used to find the department of the employee ID E103</t>
  </si>
  <si>
    <t xml:space="preserve">because vlookup is mainly used for vericatlly arranged datasets and to find </t>
  </si>
  <si>
    <t>value from the column 1 we mainly use vlookup although Hlookup is used in</t>
  </si>
  <si>
    <t xml:space="preserve">both rows and columns data </t>
  </si>
  <si>
    <t>Answer:</t>
  </si>
  <si>
    <t xml:space="preserve"> QUES 5 : A Company has set of the following commision structure for its sales </t>
  </si>
  <si>
    <t>team :</t>
  </si>
  <si>
    <t xml:space="preserve">Sales Amount </t>
  </si>
  <si>
    <r>
      <rPr>
        <b/>
        <sz val="11"/>
        <color theme="1"/>
        <rFont val="Calibri"/>
        <family val="2"/>
        <scheme val="minor"/>
      </rPr>
      <t>Commission Rate</t>
    </r>
    <r>
      <rPr>
        <sz val="11"/>
        <color theme="1"/>
        <rFont val="Calibri"/>
        <family val="2"/>
        <scheme val="minor"/>
      </rPr>
      <t xml:space="preserve"> </t>
    </r>
  </si>
  <si>
    <t>if   a  salesperson achieves sales of 45,000 use the VLOOKUP Function to determine</t>
  </si>
  <si>
    <t xml:space="preserve">the commission rate applicable </t>
  </si>
  <si>
    <t>QUES 6 : The HR department maintains the following leave records of employee :</t>
  </si>
  <si>
    <t xml:space="preserve">Bonus or not </t>
  </si>
  <si>
    <t>Employee Name</t>
  </si>
  <si>
    <t>Alex</t>
  </si>
  <si>
    <t>Bob</t>
  </si>
  <si>
    <t>Anna</t>
  </si>
  <si>
    <t>Leaves Allowed</t>
  </si>
  <si>
    <t>Leaves Taken</t>
  </si>
  <si>
    <t xml:space="preserve">Write an IF Function to check whether an employee has Exceeded their allowed </t>
  </si>
  <si>
    <t>leave balance.</t>
  </si>
  <si>
    <t>If Leave Taken &gt; Allowed Leaves , display "Exceeded"</t>
  </si>
  <si>
    <t>Otherwise , display "OK".</t>
  </si>
  <si>
    <t>QUES 7 : Find the salary of Emp ID = E105 using INDEX-MATCH Function.</t>
  </si>
  <si>
    <t>EmpID</t>
  </si>
  <si>
    <t>Salary</t>
  </si>
  <si>
    <t>E105</t>
  </si>
  <si>
    <t>E106</t>
  </si>
  <si>
    <t>QUES 8 : Use the XLOOKUP Function to find the department of the employee with the Emp ID = E303.</t>
  </si>
  <si>
    <t>E303</t>
  </si>
  <si>
    <t>E301</t>
  </si>
  <si>
    <t xml:space="preserve">Finance </t>
  </si>
  <si>
    <t xml:space="preserve">Department </t>
  </si>
  <si>
    <t xml:space="preserve">IF CONDITION </t>
  </si>
  <si>
    <t>horizontally arranged data and Xlookup advance Function which is used for</t>
  </si>
  <si>
    <t>Commission Rate Applicable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</si>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</sst>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B54C-8EA8-4FBD-854C-12D2444DD41E}">
  <dimension ref="A1:G67"/>
  <sheetViews>
    <sheetView tabSelected="1" topLeftCell="A34" zoomScale="105" workbookViewId="0">
      <selection activeCell="A41" sqref="A41"/>
    </sheetView>
  </sheetViews>
  <sheetFormatPr defaultRowHeight="14.5" x14ac:dyDescent="0.35"/>
  <cols>
    <col min="1" max="1" width="87.54296875" customWidth="1"/>
    <col min="2" max="2" width="17" customWidth="1"/>
    <col min="3" max="3" width="15.81640625" customWidth="1"/>
    <col min="4" max="4" width="14" bestFit="1" customWidth="1"/>
    <col min="5" max="5" width="23.08984375" customWidth="1"/>
  </cols>
  <sheetData>
    <row r="1" spans="1:5" ht="38.5" customHeight="1" x14ac:dyDescent="0.35">
      <c r="A1" s="1" t="s">
        <v>0</v>
      </c>
    </row>
    <row r="3" spans="1:5" x14ac:dyDescent="0.35">
      <c r="A3" s="2" t="s">
        <v>1</v>
      </c>
    </row>
    <row r="4" spans="1:5" x14ac:dyDescent="0.35">
      <c r="A4" s="2" t="s">
        <v>2</v>
      </c>
    </row>
    <row r="5" spans="1:5" x14ac:dyDescent="0.35">
      <c r="A5" s="2"/>
      <c r="B5" s="3" t="s">
        <v>3</v>
      </c>
      <c r="C5" s="3" t="s">
        <v>4</v>
      </c>
      <c r="D5" s="4" t="s">
        <v>10</v>
      </c>
    </row>
    <row r="6" spans="1:5" x14ac:dyDescent="0.35">
      <c r="B6" s="5" t="s">
        <v>5</v>
      </c>
      <c r="C6" s="5">
        <v>45</v>
      </c>
      <c r="D6" s="6" t="str">
        <f>IF(C6&gt;=45,"PASS","FAIL")</f>
        <v>PASS</v>
      </c>
    </row>
    <row r="7" spans="1:5" x14ac:dyDescent="0.35">
      <c r="B7" s="5" t="s">
        <v>6</v>
      </c>
      <c r="C7" s="5">
        <v>72</v>
      </c>
      <c r="D7" s="6" t="str">
        <f t="shared" ref="D7:D10" si="0">IF(C7&gt;=45,"PASS","FAIL")</f>
        <v>PASS</v>
      </c>
    </row>
    <row r="8" spans="1:5" x14ac:dyDescent="0.35">
      <c r="B8" s="5" t="s">
        <v>7</v>
      </c>
      <c r="C8" s="5">
        <v>55</v>
      </c>
      <c r="D8" s="6" t="str">
        <f t="shared" si="0"/>
        <v>PASS</v>
      </c>
    </row>
    <row r="9" spans="1:5" x14ac:dyDescent="0.35">
      <c r="B9" s="5" t="s">
        <v>8</v>
      </c>
      <c r="C9" s="5">
        <v>80</v>
      </c>
      <c r="D9" s="6" t="str">
        <f t="shared" si="0"/>
        <v>PASS</v>
      </c>
    </row>
    <row r="10" spans="1:5" x14ac:dyDescent="0.35">
      <c r="B10" s="5" t="s">
        <v>9</v>
      </c>
      <c r="C10" s="5">
        <v>30</v>
      </c>
      <c r="D10" s="6" t="str">
        <f t="shared" si="0"/>
        <v>FAIL</v>
      </c>
    </row>
    <row r="12" spans="1:5" x14ac:dyDescent="0.35">
      <c r="A12" s="2" t="s">
        <v>11</v>
      </c>
    </row>
    <row r="13" spans="1:5" x14ac:dyDescent="0.35">
      <c r="A13" s="2" t="s">
        <v>12</v>
      </c>
    </row>
    <row r="14" spans="1:5" x14ac:dyDescent="0.35">
      <c r="A14" s="2" t="s">
        <v>13</v>
      </c>
    </row>
    <row r="15" spans="1:5" x14ac:dyDescent="0.35">
      <c r="B15" s="4" t="s">
        <v>14</v>
      </c>
      <c r="C15" s="4" t="s">
        <v>15</v>
      </c>
      <c r="D15" s="4" t="s">
        <v>16</v>
      </c>
      <c r="E15" s="4" t="s">
        <v>21</v>
      </c>
    </row>
    <row r="16" spans="1:5" x14ac:dyDescent="0.35">
      <c r="B16" s="5" t="s">
        <v>17</v>
      </c>
      <c r="C16" s="5">
        <v>55000</v>
      </c>
      <c r="D16" s="5">
        <v>95</v>
      </c>
      <c r="E16" s="6" t="str">
        <f>IF(AND(C16&gt;40000,D16&gt;=90),"Bonus Recevied ", "Not")</f>
        <v xml:space="preserve">Bonus Recevied </v>
      </c>
    </row>
    <row r="17" spans="1:5" x14ac:dyDescent="0.35">
      <c r="B17" s="5" t="s">
        <v>18</v>
      </c>
      <c r="C17" s="5">
        <v>65000</v>
      </c>
      <c r="D17" s="5">
        <v>85</v>
      </c>
      <c r="E17" s="6" t="str">
        <f t="shared" ref="E17:E19" si="1">IF(AND(C17&gt;40000,D17&gt;=90),"Bonus Recevied ", "Not")</f>
        <v>Not</v>
      </c>
    </row>
    <row r="18" spans="1:5" x14ac:dyDescent="0.35">
      <c r="B18" s="5" t="s">
        <v>19</v>
      </c>
      <c r="C18" s="5">
        <v>30000</v>
      </c>
      <c r="D18" s="5">
        <v>90</v>
      </c>
      <c r="E18" s="6" t="str">
        <f t="shared" si="1"/>
        <v>Not</v>
      </c>
    </row>
    <row r="19" spans="1:5" x14ac:dyDescent="0.35">
      <c r="B19" s="5" t="s">
        <v>20</v>
      </c>
      <c r="C19" s="5">
        <v>25000</v>
      </c>
      <c r="D19" s="5">
        <v>65</v>
      </c>
      <c r="E19" s="6" t="str">
        <f t="shared" si="1"/>
        <v>Not</v>
      </c>
    </row>
    <row r="21" spans="1:5" x14ac:dyDescent="0.35">
      <c r="A21" s="2" t="s">
        <v>22</v>
      </c>
      <c r="B21" s="3" t="s">
        <v>3</v>
      </c>
      <c r="C21" s="3" t="s">
        <v>4</v>
      </c>
      <c r="D21" s="3" t="s">
        <v>29</v>
      </c>
    </row>
    <row r="22" spans="1:5" x14ac:dyDescent="0.35">
      <c r="A22" s="2" t="s">
        <v>23</v>
      </c>
      <c r="B22" s="5" t="s">
        <v>24</v>
      </c>
      <c r="C22" s="5">
        <v>85</v>
      </c>
      <c r="D22" s="6" t="str">
        <f>IF(C22&gt;=90,"A",IF(C22&gt;=75,"B",IF(C22&gt;=50,"C","FAIL")))</f>
        <v>B</v>
      </c>
    </row>
    <row r="23" spans="1:5" x14ac:dyDescent="0.35">
      <c r="B23" s="5" t="s">
        <v>25</v>
      </c>
      <c r="C23" s="5">
        <v>96</v>
      </c>
      <c r="D23" s="6" t="str">
        <f t="shared" ref="D23:D26" si="2">IF(C23&gt;=90,"A",IF(C23&gt;=75,"B",IF(C23&gt;=50,"C","FAIL")))</f>
        <v>A</v>
      </c>
    </row>
    <row r="24" spans="1:5" x14ac:dyDescent="0.35">
      <c r="B24" s="5" t="s">
        <v>26</v>
      </c>
      <c r="C24" s="5">
        <v>57</v>
      </c>
      <c r="D24" s="6" t="str">
        <f t="shared" si="2"/>
        <v>C</v>
      </c>
    </row>
    <row r="25" spans="1:5" x14ac:dyDescent="0.35">
      <c r="B25" s="5" t="s">
        <v>27</v>
      </c>
      <c r="C25" s="5">
        <v>92</v>
      </c>
      <c r="D25" s="6" t="str">
        <f t="shared" si="2"/>
        <v>A</v>
      </c>
    </row>
    <row r="26" spans="1:5" x14ac:dyDescent="0.35">
      <c r="B26" s="5" t="s">
        <v>28</v>
      </c>
      <c r="C26" s="5">
        <v>75</v>
      </c>
      <c r="D26" s="6" t="str">
        <f t="shared" si="2"/>
        <v>B</v>
      </c>
    </row>
    <row r="28" spans="1:5" x14ac:dyDescent="0.35">
      <c r="A28" s="2" t="s">
        <v>30</v>
      </c>
      <c r="B28" s="3" t="s">
        <v>32</v>
      </c>
      <c r="C28" s="4" t="s">
        <v>33</v>
      </c>
      <c r="D28" s="4" t="s">
        <v>34</v>
      </c>
    </row>
    <row r="29" spans="1:5" x14ac:dyDescent="0.35">
      <c r="A29" s="2" t="s">
        <v>31</v>
      </c>
      <c r="B29" s="5" t="s">
        <v>41</v>
      </c>
      <c r="C29" s="6" t="s">
        <v>7</v>
      </c>
      <c r="D29" s="6" t="s">
        <v>35</v>
      </c>
    </row>
    <row r="30" spans="1:5" x14ac:dyDescent="0.35">
      <c r="B30" s="5" t="s">
        <v>42</v>
      </c>
      <c r="C30" s="6" t="s">
        <v>5</v>
      </c>
      <c r="D30" s="6" t="s">
        <v>36</v>
      </c>
    </row>
    <row r="31" spans="1:5" x14ac:dyDescent="0.35">
      <c r="A31" s="2" t="s">
        <v>45</v>
      </c>
      <c r="B31" s="5" t="s">
        <v>43</v>
      </c>
      <c r="C31" s="6" t="s">
        <v>40</v>
      </c>
      <c r="D31" s="6" t="s">
        <v>37</v>
      </c>
    </row>
    <row r="32" spans="1:5" x14ac:dyDescent="0.35">
      <c r="A32" s="2" t="s">
        <v>46</v>
      </c>
      <c r="B32" s="5" t="s">
        <v>44</v>
      </c>
      <c r="C32" s="6" t="s">
        <v>39</v>
      </c>
      <c r="D32" s="6" t="s">
        <v>38</v>
      </c>
    </row>
    <row r="33" spans="1:7" x14ac:dyDescent="0.35">
      <c r="A33" s="2" t="s">
        <v>47</v>
      </c>
    </row>
    <row r="34" spans="1:7" x14ac:dyDescent="0.35">
      <c r="A34" s="2" t="s">
        <v>79</v>
      </c>
    </row>
    <row r="35" spans="1:7" x14ac:dyDescent="0.35">
      <c r="A35" s="2" t="s">
        <v>48</v>
      </c>
    </row>
    <row r="36" spans="1:7" x14ac:dyDescent="0.35">
      <c r="A36" s="2" t="s">
        <v>49</v>
      </c>
      <c r="F36" s="10"/>
      <c r="G36" s="10"/>
    </row>
    <row r="37" spans="1:7" x14ac:dyDescent="0.35">
      <c r="A37" s="7" t="str">
        <f>VLOOKUP(B31,B28:D32,3,0)</f>
        <v>Finance</v>
      </c>
      <c r="E37" s="2"/>
      <c r="F37" s="11"/>
      <c r="G37" s="12"/>
    </row>
    <row r="38" spans="1:7" x14ac:dyDescent="0.35">
      <c r="E38" s="2"/>
      <c r="F38" s="12"/>
      <c r="G38" s="13"/>
    </row>
    <row r="39" spans="1:7" x14ac:dyDescent="0.35">
      <c r="A39" s="2" t="s">
        <v>50</v>
      </c>
      <c r="B39" s="3" t="s">
        <v>52</v>
      </c>
      <c r="C39" s="5" t="s">
        <v>53</v>
      </c>
      <c r="D39" s="3" t="s">
        <v>81</v>
      </c>
      <c r="E39" s="3" t="s">
        <v>80</v>
      </c>
      <c r="F39" s="12"/>
      <c r="G39" s="13"/>
    </row>
    <row r="40" spans="1:7" x14ac:dyDescent="0.35">
      <c r="A40" s="2" t="s">
        <v>51</v>
      </c>
      <c r="B40" s="5">
        <v>0</v>
      </c>
      <c r="C40" s="8">
        <v>0.05</v>
      </c>
      <c r="D40" s="5">
        <f>VLOOKUP(45000,$B$39:$C$43,2,TRUE)</f>
        <v>0.1</v>
      </c>
      <c r="E40" s="5">
        <f>B40*D40</f>
        <v>0</v>
      </c>
      <c r="F40" s="12"/>
      <c r="G40" s="13"/>
    </row>
    <row r="41" spans="1:7" x14ac:dyDescent="0.35">
      <c r="B41" s="5">
        <v>20000</v>
      </c>
      <c r="C41" s="8">
        <v>0.1</v>
      </c>
      <c r="D41" s="5">
        <f t="shared" ref="D41:D43" si="3">VLOOKUP(45000,$B$39:$C$43,2,TRUE)</f>
        <v>0.1</v>
      </c>
      <c r="E41" s="5">
        <f t="shared" ref="E41:E43" si="4">B41*D41</f>
        <v>2000</v>
      </c>
      <c r="F41" s="12"/>
      <c r="G41" s="13"/>
    </row>
    <row r="42" spans="1:7" x14ac:dyDescent="0.35">
      <c r="B42" s="5">
        <v>50000</v>
      </c>
      <c r="C42" s="8">
        <v>0.15</v>
      </c>
      <c r="D42" s="5">
        <f t="shared" si="3"/>
        <v>0.1</v>
      </c>
      <c r="E42" s="5">
        <f t="shared" si="4"/>
        <v>5000</v>
      </c>
    </row>
    <row r="43" spans="1:7" x14ac:dyDescent="0.35">
      <c r="B43" s="5">
        <v>80000</v>
      </c>
      <c r="C43" s="8">
        <v>0.2</v>
      </c>
      <c r="D43" s="5">
        <f t="shared" si="3"/>
        <v>0.1</v>
      </c>
      <c r="E43" s="5">
        <f t="shared" si="4"/>
        <v>8000</v>
      </c>
    </row>
    <row r="44" spans="1:7" x14ac:dyDescent="0.35">
      <c r="E44" s="2"/>
    </row>
    <row r="45" spans="1:7" x14ac:dyDescent="0.35">
      <c r="A45" s="2" t="s">
        <v>54</v>
      </c>
    </row>
    <row r="46" spans="1:7" x14ac:dyDescent="0.35">
      <c r="A46" s="2" t="s">
        <v>55</v>
      </c>
    </row>
    <row r="48" spans="1:7" x14ac:dyDescent="0.35">
      <c r="A48" s="2" t="s">
        <v>56</v>
      </c>
      <c r="B48" s="3" t="s">
        <v>58</v>
      </c>
      <c r="C48" s="3" t="s">
        <v>63</v>
      </c>
      <c r="D48" s="3" t="s">
        <v>62</v>
      </c>
      <c r="E48" s="3" t="s">
        <v>78</v>
      </c>
    </row>
    <row r="49" spans="1:5" x14ac:dyDescent="0.35">
      <c r="A49" s="2" t="s">
        <v>57</v>
      </c>
      <c r="B49" s="5" t="s">
        <v>59</v>
      </c>
      <c r="C49" s="5">
        <v>10</v>
      </c>
      <c r="D49" s="5">
        <v>12</v>
      </c>
      <c r="E49" s="6" t="str">
        <f>IF(C49&gt;D49,"Exceeded","OK")</f>
        <v>OK</v>
      </c>
    </row>
    <row r="50" spans="1:5" x14ac:dyDescent="0.35">
      <c r="B50" s="5" t="s">
        <v>60</v>
      </c>
      <c r="C50" s="5">
        <v>10</v>
      </c>
      <c r="D50" s="5">
        <v>15</v>
      </c>
      <c r="E50" s="6" t="str">
        <f t="shared" ref="E50:E51" si="5">IF(C50&gt;D50,"Exceeded","OK")</f>
        <v>OK</v>
      </c>
    </row>
    <row r="51" spans="1:5" x14ac:dyDescent="0.35">
      <c r="B51" s="5" t="s">
        <v>61</v>
      </c>
      <c r="C51" s="5">
        <v>8</v>
      </c>
      <c r="D51" s="5">
        <v>12</v>
      </c>
      <c r="E51" s="6" t="str">
        <f t="shared" si="5"/>
        <v>OK</v>
      </c>
    </row>
    <row r="52" spans="1:5" x14ac:dyDescent="0.35">
      <c r="A52" s="2" t="s">
        <v>64</v>
      </c>
    </row>
    <row r="53" spans="1:5" x14ac:dyDescent="0.35">
      <c r="A53" s="2" t="s">
        <v>65</v>
      </c>
    </row>
    <row r="54" spans="1:5" x14ac:dyDescent="0.35">
      <c r="A54" s="2" t="s">
        <v>66</v>
      </c>
    </row>
    <row r="55" spans="1:5" x14ac:dyDescent="0.35">
      <c r="A55" s="2" t="s">
        <v>67</v>
      </c>
    </row>
    <row r="57" spans="1:5" x14ac:dyDescent="0.35">
      <c r="A57" s="2" t="s">
        <v>68</v>
      </c>
      <c r="B57" s="3" t="s">
        <v>69</v>
      </c>
      <c r="C57" s="3" t="s">
        <v>70</v>
      </c>
    </row>
    <row r="58" spans="1:5" x14ac:dyDescent="0.35">
      <c r="B58" s="5" t="s">
        <v>44</v>
      </c>
      <c r="C58" s="5">
        <v>55000</v>
      </c>
    </row>
    <row r="59" spans="1:5" x14ac:dyDescent="0.35">
      <c r="A59" s="9">
        <f>INDEX(C57:C61,MATCH(B59,B57:B61,0))</f>
        <v>72000</v>
      </c>
      <c r="B59" s="5" t="s">
        <v>71</v>
      </c>
      <c r="C59" s="5">
        <v>72000</v>
      </c>
    </row>
    <row r="60" spans="1:5" x14ac:dyDescent="0.35">
      <c r="B60" s="5" t="s">
        <v>72</v>
      </c>
      <c r="C60" s="5">
        <v>62000</v>
      </c>
    </row>
    <row r="61" spans="1:5" x14ac:dyDescent="0.35">
      <c r="B61" s="5" t="s">
        <v>42</v>
      </c>
      <c r="C61" s="5">
        <v>41000</v>
      </c>
    </row>
    <row r="63" spans="1:5" x14ac:dyDescent="0.35">
      <c r="A63" s="2" t="s">
        <v>73</v>
      </c>
      <c r="B63" s="3" t="s">
        <v>69</v>
      </c>
      <c r="C63" s="3" t="s">
        <v>77</v>
      </c>
    </row>
    <row r="64" spans="1:5" x14ac:dyDescent="0.35">
      <c r="B64" s="5" t="s">
        <v>41</v>
      </c>
      <c r="C64" s="5" t="s">
        <v>36</v>
      </c>
    </row>
    <row r="65" spans="1:3" x14ac:dyDescent="0.35">
      <c r="A65" s="7" t="str">
        <f>_xlfn.XLOOKUP(B65,B63:B67,C63:C67)</f>
        <v>IT</v>
      </c>
      <c r="B65" s="5" t="s">
        <v>74</v>
      </c>
      <c r="C65" s="5" t="s">
        <v>35</v>
      </c>
    </row>
    <row r="66" spans="1:3" x14ac:dyDescent="0.35">
      <c r="B66" s="5" t="s">
        <v>72</v>
      </c>
      <c r="C66" s="5" t="s">
        <v>38</v>
      </c>
    </row>
    <row r="67" spans="1:3" x14ac:dyDescent="0.35">
      <c r="B67" s="5" t="s">
        <v>75</v>
      </c>
      <c r="C67" s="5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INSHA TANVEER</dc:creator>
  <cp:lastModifiedBy>INSHA TANVEER</cp:lastModifiedBy>
  <dcterms:created xsi:type="dcterms:W3CDTF">2026-06-15T10:06:05Z</dcterms:created>
  <dcterms:modified xsi:type="dcterms:W3CDTF">2026-06-23T15:06:37Z</dcterms:modified>
</cp:coreProperties>
</file>